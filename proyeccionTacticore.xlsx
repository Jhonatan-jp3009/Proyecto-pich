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z\OneDrive\Documentos\"/>
    </mc:Choice>
  </mc:AlternateContent>
  <xr:revisionPtr revIDLastSave="0" documentId="8_{4DE1473B-3638-48EF-B714-834FCB38AD86}" xr6:coauthVersionLast="47" xr6:coauthVersionMax="47" xr10:uidLastSave="{00000000-0000-0000-0000-000000000000}"/>
  <bookViews>
    <workbookView xWindow="-108" yWindow="-108" windowWidth="23256" windowHeight="12456" xr2:uid="{8B1E74E7-E033-40EB-A3AD-BA0D378D7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1" l="1"/>
  <c r="B48" i="1"/>
  <c r="B47" i="1"/>
  <c r="B13" i="1"/>
  <c r="C13" i="1"/>
  <c r="D13" i="1"/>
  <c r="D15" i="1" s="1"/>
  <c r="D37" i="1" s="1"/>
  <c r="B14" i="1"/>
  <c r="C14" i="1"/>
  <c r="D14" i="1"/>
  <c r="B15" i="1"/>
  <c r="C15" i="1"/>
  <c r="B25" i="1"/>
  <c r="B34" i="1" s="1"/>
  <c r="B38" i="1" s="1"/>
  <c r="C25" i="1"/>
  <c r="D25" i="1"/>
  <c r="B30" i="1"/>
  <c r="B32" i="1" s="1"/>
  <c r="C30" i="1"/>
  <c r="C32" i="1" s="1"/>
  <c r="D30" i="1"/>
  <c r="D32" i="1" s="1"/>
  <c r="D34" i="1" s="1"/>
  <c r="D38" i="1" s="1"/>
  <c r="B31" i="1"/>
  <c r="C31" i="1"/>
  <c r="D31" i="1"/>
  <c r="B37" i="1"/>
  <c r="C37" i="1"/>
  <c r="B45" i="1"/>
  <c r="C34" i="1" l="1"/>
  <c r="C38" i="1" s="1"/>
  <c r="C39" i="1"/>
  <c r="D39" i="1"/>
  <c r="B39" i="1"/>
</calcChain>
</file>

<file path=xl/sharedStrings.xml><?xml version="1.0" encoding="utf-8"?>
<sst xmlns="http://schemas.openxmlformats.org/spreadsheetml/2006/main" count="60" uniqueCount="43">
  <si>
    <t>TACTICORE - MODELO FINANCIERO PROYECTADO</t>
  </si>
  <si>
    <t>1. PRECIOS MENSUALES (COP)</t>
  </si>
  <si>
    <t>Año 1</t>
  </si>
  <si>
    <t>Año 2</t>
  </si>
  <si>
    <t>Año 3</t>
  </si>
  <si>
    <t>Premium Jugador</t>
  </si>
  <si>
    <t>Premium Equipo</t>
  </si>
  <si>
    <t>2. USUARIOS (Acumulados)</t>
  </si>
  <si>
    <t>Free</t>
  </si>
  <si>
    <t>3. INGRESOS ANUALES (COP)</t>
  </si>
  <si>
    <t>Ingresos Jugadores</t>
  </si>
  <si>
    <t>Ingresos Equipos</t>
  </si>
  <si>
    <t>TOTAL INGRESOS</t>
  </si>
  <si>
    <t>4. COSTOS FIJOS (COP)</t>
  </si>
  <si>
    <t>Desarrollo IA</t>
  </si>
  <si>
    <t>Plataforma</t>
  </si>
  <si>
    <t>Infraestructura</t>
  </si>
  <si>
    <t>Marketing y Ventas</t>
  </si>
  <si>
    <t>Licencias</t>
  </si>
  <si>
    <t>Administracion</t>
  </si>
  <si>
    <t>Soporte y Operacion</t>
  </si>
  <si>
    <t>TOTAL COSTOS FIJOS</t>
  </si>
  <si>
    <t>5. COSTOS VARIABLES (COP)</t>
  </si>
  <si>
    <t>Costo Variable Mensual Jugador</t>
  </si>
  <si>
    <t>Costo Variable Mensual Equipo</t>
  </si>
  <si>
    <t>Costo Variable Anual Jugadores</t>
  </si>
  <si>
    <t>Costo Variable Anual Equipos</t>
  </si>
  <si>
    <t>TOTAL COSTOS VARIABLES</t>
  </si>
  <si>
    <t>TOTAL COSTOS (Fijos + Variables)</t>
  </si>
  <si>
    <t>6. ESTADO DE RESULTADOS (COP)</t>
  </si>
  <si>
    <t>INGRESOS TOTALES</t>
  </si>
  <si>
    <t>COSTOS TOTALES</t>
  </si>
  <si>
    <t>UTILIDAD OPERATIVA</t>
  </si>
  <si>
    <t>7. VALORIZACION E INVERSION</t>
  </si>
  <si>
    <t>Inversion Solicitada (COP)</t>
  </si>
  <si>
    <t>Equity Ofrecido</t>
  </si>
  <si>
    <t>Valorizacion Pre-Money (COP)</t>
  </si>
  <si>
    <t>Valorizacion Post-Money (COP)</t>
  </si>
  <si>
    <t>Multiplo SaaS (Conservador)</t>
  </si>
  <si>
    <t>2.75</t>
  </si>
  <si>
    <t>Valorizacion Futura Empresa (Año 3)</t>
  </si>
  <si>
    <t>Valor Participacion Inversionista (Año 3)</t>
  </si>
  <si>
    <t>Retorno (Multiplo sobre Inversion)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</si>
</sst>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5133-2390-4187-913D-BB5E45927EFB}">
  <dimension ref="A1:D49"/>
  <sheetViews>
    <sheetView tabSelected="1" topLeftCell="A33" workbookViewId="0">
      <selection activeCell="B21" sqref="B21"/>
    </sheetView>
  </sheetViews>
  <sheetFormatPr defaultRowHeight="14.4" x14ac:dyDescent="0.3"/>
  <cols>
    <col min="1" max="1" width="42" bestFit="1" customWidth="1"/>
    <col min="2" max="2" width="10" bestFit="1" customWidth="1"/>
    <col min="3" max="3" width="9" bestFit="1" customWidth="1"/>
    <col min="4" max="4" width="10" bestFit="1" customWidth="1"/>
  </cols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>
        <v>39900</v>
      </c>
      <c r="C4">
        <v>44900</v>
      </c>
      <c r="D4">
        <v>49900</v>
      </c>
    </row>
    <row r="5" spans="1:4" x14ac:dyDescent="0.3">
      <c r="A5" t="s">
        <v>6</v>
      </c>
      <c r="B5">
        <v>699000</v>
      </c>
      <c r="C5">
        <v>799000</v>
      </c>
      <c r="D5">
        <v>949000</v>
      </c>
    </row>
    <row r="7" spans="1:4" x14ac:dyDescent="0.3">
      <c r="A7" t="s">
        <v>7</v>
      </c>
      <c r="B7" t="s">
        <v>2</v>
      </c>
      <c r="C7" t="s">
        <v>3</v>
      </c>
      <c r="D7" t="s">
        <v>4</v>
      </c>
    </row>
    <row r="8" spans="1:4" x14ac:dyDescent="0.3">
      <c r="A8" t="s">
        <v>8</v>
      </c>
      <c r="B8">
        <v>50</v>
      </c>
      <c r="C8">
        <v>140</v>
      </c>
      <c r="D8">
        <v>350</v>
      </c>
    </row>
    <row r="9" spans="1:4" x14ac:dyDescent="0.3">
      <c r="A9" t="s">
        <v>5</v>
      </c>
      <c r="B9">
        <v>10</v>
      </c>
      <c r="C9">
        <v>30</v>
      </c>
      <c r="D9">
        <v>75</v>
      </c>
    </row>
    <row r="10" spans="1:4" x14ac:dyDescent="0.3">
      <c r="A10" t="s">
        <v>6</v>
      </c>
      <c r="B10">
        <v>2</v>
      </c>
      <c r="C10">
        <v>5</v>
      </c>
      <c r="D10">
        <v>12</v>
      </c>
    </row>
    <row r="12" spans="1:4" x14ac:dyDescent="0.3">
      <c r="A12" t="s">
        <v>9</v>
      </c>
      <c r="B12" t="s">
        <v>2</v>
      </c>
      <c r="C12" t="s">
        <v>3</v>
      </c>
      <c r="D12" t="s">
        <v>4</v>
      </c>
    </row>
    <row r="13" spans="1:4" x14ac:dyDescent="0.3">
      <c r="A13" t="s">
        <v>10</v>
      </c>
      <c r="B13">
        <f>B9*B4*12</f>
        <v>4788000</v>
      </c>
      <c r="C13">
        <f>C9*C4*12</f>
        <v>16164000</v>
      </c>
      <c r="D13">
        <f>D9*D4*12</f>
        <v>44910000</v>
      </c>
    </row>
    <row r="14" spans="1:4" x14ac:dyDescent="0.3">
      <c r="A14" t="s">
        <v>11</v>
      </c>
      <c r="B14">
        <f>B10*B5*12</f>
        <v>16776000</v>
      </c>
      <c r="C14">
        <f>C10*C5*12</f>
        <v>47940000</v>
      </c>
      <c r="D14">
        <f>D10*D5*12</f>
        <v>136656000</v>
      </c>
    </row>
    <row r="15" spans="1:4" x14ac:dyDescent="0.3">
      <c r="A15" t="s">
        <v>12</v>
      </c>
      <c r="B15">
        <f>B13+B14</f>
        <v>21564000</v>
      </c>
      <c r="C15">
        <f>C13+C14</f>
        <v>64104000</v>
      </c>
      <c r="D15">
        <f>D13+D14</f>
        <v>181566000</v>
      </c>
    </row>
    <row r="17" spans="1:4" x14ac:dyDescent="0.3">
      <c r="A17" t="s">
        <v>13</v>
      </c>
      <c r="B17" t="s">
        <v>2</v>
      </c>
      <c r="C17" t="s">
        <v>3</v>
      </c>
      <c r="D17" t="s">
        <v>4</v>
      </c>
    </row>
    <row r="18" spans="1:4" x14ac:dyDescent="0.3">
      <c r="A18" t="s">
        <v>14</v>
      </c>
      <c r="B18">
        <v>20000000</v>
      </c>
      <c r="C18">
        <v>24000000</v>
      </c>
      <c r="D18">
        <v>28000000</v>
      </c>
    </row>
    <row r="19" spans="1:4" x14ac:dyDescent="0.3">
      <c r="A19" t="s">
        <v>15</v>
      </c>
      <c r="B19">
        <v>14000000</v>
      </c>
      <c r="C19">
        <v>0</v>
      </c>
      <c r="D19">
        <v>0</v>
      </c>
    </row>
    <row r="20" spans="1:4" x14ac:dyDescent="0.3">
      <c r="A20" t="s">
        <v>16</v>
      </c>
      <c r="B20">
        <v>5000000</v>
      </c>
      <c r="C20">
        <v>8000000</v>
      </c>
      <c r="D20">
        <v>12000000</v>
      </c>
    </row>
    <row r="21" spans="1:4" x14ac:dyDescent="0.3">
      <c r="A21" t="s">
        <v>17</v>
      </c>
      <c r="B21">
        <v>6000000</v>
      </c>
      <c r="C21">
        <v>10000000</v>
      </c>
      <c r="D21">
        <v>15000000</v>
      </c>
    </row>
    <row r="22" spans="1:4" x14ac:dyDescent="0.3">
      <c r="A22" t="s">
        <v>18</v>
      </c>
      <c r="B22">
        <v>3000000</v>
      </c>
      <c r="C22">
        <v>5000000</v>
      </c>
      <c r="D22">
        <v>7000000</v>
      </c>
    </row>
    <row r="23" spans="1:4" x14ac:dyDescent="0.3">
      <c r="A23" t="s">
        <v>19</v>
      </c>
      <c r="B23">
        <v>4000000</v>
      </c>
      <c r="C23">
        <v>7000000</v>
      </c>
      <c r="D23">
        <v>8000000</v>
      </c>
    </row>
    <row r="24" spans="1:4" x14ac:dyDescent="0.3">
      <c r="A24" t="s">
        <v>20</v>
      </c>
      <c r="B24">
        <v>0</v>
      </c>
      <c r="C24">
        <v>10000000</v>
      </c>
      <c r="D24">
        <v>12000000</v>
      </c>
    </row>
    <row r="25" spans="1:4" x14ac:dyDescent="0.3">
      <c r="A25" t="s">
        <v>21</v>
      </c>
      <c r="B25">
        <f>B18+B19+B20+B21+B22+B23+B24</f>
        <v>52000000</v>
      </c>
      <c r="C25">
        <f>C18+C19+C20+C21+C22+C23+C24</f>
        <v>64000000</v>
      </c>
      <c r="D25">
        <f>D18+D19+D20+D21+D22+D23+D24</f>
        <v>82000000</v>
      </c>
    </row>
    <row r="27" spans="1:4" x14ac:dyDescent="0.3">
      <c r="A27" t="s">
        <v>22</v>
      </c>
      <c r="B27" t="s">
        <v>2</v>
      </c>
      <c r="C27" t="s">
        <v>3</v>
      </c>
      <c r="D27" t="s">
        <v>4</v>
      </c>
    </row>
    <row r="28" spans="1:4" x14ac:dyDescent="0.3">
      <c r="A28" t="s">
        <v>23</v>
      </c>
      <c r="B28">
        <v>7000</v>
      </c>
      <c r="C28">
        <v>8000</v>
      </c>
      <c r="D28">
        <v>9000</v>
      </c>
    </row>
    <row r="29" spans="1:4" x14ac:dyDescent="0.3">
      <c r="A29" t="s">
        <v>24</v>
      </c>
      <c r="B29">
        <v>45000</v>
      </c>
      <c r="C29">
        <v>55000</v>
      </c>
      <c r="D29">
        <v>65000</v>
      </c>
    </row>
    <row r="30" spans="1:4" x14ac:dyDescent="0.3">
      <c r="A30" t="s">
        <v>25</v>
      </c>
      <c r="B30">
        <f>B9*B28*12</f>
        <v>840000</v>
      </c>
      <c r="C30">
        <f>C9*C28*12</f>
        <v>2880000</v>
      </c>
      <c r="D30">
        <f>D9*D28*12</f>
        <v>8100000</v>
      </c>
    </row>
    <row r="31" spans="1:4" x14ac:dyDescent="0.3">
      <c r="A31" t="s">
        <v>26</v>
      </c>
      <c r="B31">
        <f>B10*B29*12</f>
        <v>1080000</v>
      </c>
      <c r="C31">
        <f>C10*C29*12</f>
        <v>3300000</v>
      </c>
      <c r="D31">
        <f>D10*D29*12</f>
        <v>9360000</v>
      </c>
    </row>
    <row r="32" spans="1:4" x14ac:dyDescent="0.3">
      <c r="A32" t="s">
        <v>27</v>
      </c>
      <c r="B32">
        <f>B30+B31</f>
        <v>1920000</v>
      </c>
      <c r="C32">
        <f>C30+C31</f>
        <v>6180000</v>
      </c>
      <c r="D32">
        <f>D30+D31</f>
        <v>17460000</v>
      </c>
    </row>
    <row r="34" spans="1:4" x14ac:dyDescent="0.3">
      <c r="A34" t="s">
        <v>28</v>
      </c>
      <c r="B34">
        <f>B25+B32</f>
        <v>53920000</v>
      </c>
      <c r="C34">
        <f>C25+C32</f>
        <v>70180000</v>
      </c>
      <c r="D34">
        <f>D25+D32</f>
        <v>99460000</v>
      </c>
    </row>
    <row r="36" spans="1:4" x14ac:dyDescent="0.3">
      <c r="A36" t="s">
        <v>29</v>
      </c>
      <c r="B36" t="s">
        <v>2</v>
      </c>
      <c r="C36" t="s">
        <v>3</v>
      </c>
      <c r="D36" t="s">
        <v>4</v>
      </c>
    </row>
    <row r="37" spans="1:4" x14ac:dyDescent="0.3">
      <c r="A37" t="s">
        <v>30</v>
      </c>
      <c r="B37">
        <f>B15</f>
        <v>21564000</v>
      </c>
      <c r="C37">
        <f>C15</f>
        <v>64104000</v>
      </c>
      <c r="D37">
        <f>D15</f>
        <v>181566000</v>
      </c>
    </row>
    <row r="38" spans="1:4" x14ac:dyDescent="0.3">
      <c r="A38" t="s">
        <v>31</v>
      </c>
      <c r="B38">
        <f>B34</f>
        <v>53920000</v>
      </c>
      <c r="C38">
        <f>C34</f>
        <v>70180000</v>
      </c>
      <c r="D38">
        <f>D34</f>
        <v>99460000</v>
      </c>
    </row>
    <row r="39" spans="1:4" x14ac:dyDescent="0.3">
      <c r="A39" t="s">
        <v>32</v>
      </c>
      <c r="B39">
        <f>B37-B38</f>
        <v>-32356000</v>
      </c>
      <c r="C39">
        <f>C37-C38</f>
        <v>-6076000</v>
      </c>
      <c r="D39">
        <f>D37-D38</f>
        <v>82106000</v>
      </c>
    </row>
    <row r="41" spans="1:4" x14ac:dyDescent="0.3">
      <c r="A41" t="s">
        <v>33</v>
      </c>
    </row>
    <row r="42" spans="1:4" x14ac:dyDescent="0.3">
      <c r="A42" t="s">
        <v>34</v>
      </c>
      <c r="B42">
        <v>50000000</v>
      </c>
    </row>
    <row r="43" spans="1:4" x14ac:dyDescent="0.3">
      <c r="A43" t="s">
        <v>35</v>
      </c>
      <c r="B43" s="1">
        <v>0.2</v>
      </c>
    </row>
    <row r="44" spans="1:4" x14ac:dyDescent="0.3">
      <c r="A44" t="s">
        <v>36</v>
      </c>
      <c r="B44">
        <v>200000000</v>
      </c>
    </row>
    <row r="45" spans="1:4" x14ac:dyDescent="0.3">
      <c r="A45" t="s">
        <v>37</v>
      </c>
      <c r="B45">
        <f>B44+B42</f>
        <v>250000000</v>
      </c>
    </row>
    <row r="46" spans="1:4" x14ac:dyDescent="0.3">
      <c r="A46" t="s">
        <v>38</v>
      </c>
      <c r="B46" t="s">
        <v>39</v>
      </c>
    </row>
    <row r="47" spans="1:4" x14ac:dyDescent="0.3">
      <c r="A47" t="s">
        <v>40</v>
      </c>
      <c r="B47">
        <f>D37*2.75</f>
        <v>499306500</v>
      </c>
    </row>
    <row r="48" spans="1:4" x14ac:dyDescent="0.3">
      <c r="A48" t="s">
        <v>41</v>
      </c>
      <c r="B48">
        <f>B47*B43</f>
        <v>99861300</v>
      </c>
    </row>
    <row r="49" spans="1:2" x14ac:dyDescent="0.3">
      <c r="A49" t="s">
        <v>42</v>
      </c>
      <c r="B49">
        <f>B48/B42</f>
        <v>1.9972259999999999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Zhen' Yabse Marín Cuervo</dc:creator>
  <cp:lastModifiedBy>Jhon Zhen' Yabse Marín Cuervo</cp:lastModifiedBy>
  <dcterms:created xsi:type="dcterms:W3CDTF">2026-05-26T13:09:21Z</dcterms:created>
  <dcterms:modified xsi:type="dcterms:W3CDTF">2026-05-26T13:11:30Z</dcterms:modified>
</cp:coreProperties>
</file>